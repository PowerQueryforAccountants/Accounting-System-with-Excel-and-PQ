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\Dropbox\Public\Projects\ComboBox\"/>
    </mc:Choice>
  </mc:AlternateContent>
  <bookViews>
    <workbookView xWindow="480" yWindow="90" windowWidth="27795" windowHeight="13290"/>
  </bookViews>
  <sheets>
    <sheet name="ComboDemo" sheetId="1" r:id="rId1"/>
  </sheets>
  <definedNames>
    <definedName name="Cuts">INDIRECT("tbl" &amp; INDIRECT("tblEntries[@[Favorite Meat Type]]"))</definedName>
    <definedName name="MeatType">tblEntries[[#This Row],[Favorite Meat Type]]</definedName>
  </definedNames>
  <calcPr calcId="152511"/>
</workbook>
</file>

<file path=xl/calcChain.xml><?xml version="1.0" encoding="utf-8"?>
<calcChain xmlns="http://schemas.openxmlformats.org/spreadsheetml/2006/main">
  <c r="A14" i="1" l="1"/>
  <c r="A15" i="1"/>
  <c r="A16" i="1"/>
  <c r="A17" i="1"/>
  <c r="A18" i="1"/>
  <c r="D14" i="1"/>
  <c r="D15" i="1"/>
  <c r="D16" i="1"/>
  <c r="D17" i="1"/>
  <c r="D18" i="1"/>
  <c r="A13" i="1"/>
  <c r="D13" i="1"/>
  <c r="A12" i="1"/>
  <c r="D12" i="1"/>
  <c r="A9" i="1"/>
  <c r="A10" i="1"/>
  <c r="A11" i="1"/>
  <c r="D11" i="1" l="1"/>
  <c r="D10" i="1" l="1"/>
  <c r="D9" i="1"/>
  <c r="D8" i="1"/>
  <c r="A8" i="1"/>
</calcChain>
</file>

<file path=xl/sharedStrings.xml><?xml version="1.0" encoding="utf-8"?>
<sst xmlns="http://schemas.openxmlformats.org/spreadsheetml/2006/main" count="307" uniqueCount="261">
  <si>
    <t>ID</t>
  </si>
  <si>
    <t>Name</t>
  </si>
  <si>
    <t>St</t>
  </si>
  <si>
    <t>State</t>
  </si>
  <si>
    <t>Entries</t>
  </si>
  <si>
    <t>BXL ComboBox Demo</t>
  </si>
  <si>
    <t>Names</t>
  </si>
  <si>
    <t>States</t>
  </si>
  <si>
    <t>Code</t>
  </si>
  <si>
    <t>Description</t>
  </si>
  <si>
    <t>ALABAMA</t>
  </si>
  <si>
    <t>AL</t>
  </si>
  <si>
    <t>ALASKA</t>
  </si>
  <si>
    <t>AK</t>
  </si>
  <si>
    <t>AMERICAN SAMOA</t>
  </si>
  <si>
    <t>AS</t>
  </si>
  <si>
    <t>ARIZONA</t>
  </si>
  <si>
    <t>AZ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</si>
  <si>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</si>
  <si>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</si>
  <si>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</si>
  <si>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</si>
  <si>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</si>
  <si>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</si>
  <si>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</si>
  <si>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</si>
  <si>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</si>
  <si>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</si>
  <si>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>DISTRICT OF COLUMBIA</t>
  </si>
  <si>
    <t>DC</t>
  </si>
  <si>
    <t>FEDERATED STATES OF MICRONESIA</t>
  </si>
  <si>
    <t>FM</t>
  </si>
  <si>
    <t>FLORIDA</t>
  </si>
  <si>
    <t>FL</t>
  </si>
  <si>
    <t>GEORGIA</t>
  </si>
  <si>
    <t>GA</t>
  </si>
  <si>
    <t>GUAM GU</t>
  </si>
  <si>
    <t>GU</t>
  </si>
  <si>
    <t>HAWAII</t>
  </si>
  <si>
    <t>HI</t>
  </si>
  <si>
    <t>IDAHO</t>
  </si>
  <si>
    <t>ILLINOIS</t>
  </si>
  <si>
    <t>IL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</si>
  <si>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</si>
  <si>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</si>
  <si>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</si>
  <si>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</si>
  <si>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</si>
  <si>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</si>
  <si>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</si>
  <si>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</si>
  <si>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</si>
  <si>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</si>
  <si>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</si>
  <si>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</si>
  <si>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MARSHALL ISLANDS</t>
  </si>
  <si>
    <t>MH</t>
  </si>
  <si>
    <t>MARYLAND</t>
  </si>
  <si>
    <t>MD</t>
  </si>
  <si>
    <t>MASSACHUSETTS</t>
  </si>
  <si>
    <t>MA</t>
  </si>
  <si>
    <t>MICHIGAN</t>
  </si>
  <si>
    <t>MI</t>
  </si>
  <si>
    <t>MINNESOTA</t>
  </si>
  <si>
    <t>MN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</si>
  <si>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</si>
  <si>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</si>
  <si>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</si>
  <si>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</si>
  <si>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</si>
  <si>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</si>
  <si>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</si>
  <si>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</si>
  <si>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</si>
  <si>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</si>
  <si>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</si>
  <si>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</si>
  <si>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</si>
  <si>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</si>
  <si>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</si>
  <si>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</si>
  <si>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</si>
  <si>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</si>
  <si>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</si>
  <si>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</si>
  <si>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</si>
  <si>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</si>
  <si>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NORTHERN MARIANA ISLANDS</t>
  </si>
  <si>
    <t>MP</t>
  </si>
  <si>
    <t>OHIO</t>
  </si>
  <si>
    <t>OH</t>
  </si>
  <si>
    <t>OKLAHOMA</t>
  </si>
  <si>
    <t>OK</t>
  </si>
  <si>
    <t>OREGON</t>
  </si>
  <si>
    <t>OR</t>
  </si>
  <si>
    <t>PALAU</t>
  </si>
  <si>
    <t>PW</t>
  </si>
  <si>
    <t>PENNSYLVANIA</t>
  </si>
  <si>
    <t>PA</t>
  </si>
  <si>
    <t>PUERTO RICO</t>
  </si>
  <si>
    <t>PR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</si>
  <si>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</si>
  <si>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</si>
  <si>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</si>
  <si>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</si>
  <si>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</si>
  <si>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</si>
  <si>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</si>
  <si>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</si>
  <si>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</si>
  <si>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TX</t>
  </si>
  <si>
    <t>UTAH</t>
  </si>
  <si>
    <t>UT</t>
  </si>
  <si>
    <t>VERMONT</t>
  </si>
  <si>
    <t>VT</t>
  </si>
  <si>
    <t>VIRGIN ISLANDS</t>
  </si>
  <si>
    <t>VI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</si>
  <si>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</si>
  <si>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</si>
  <si>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</si>
  <si>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</si>
  <si>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</si>
  <si>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</si>
  <si>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</si>
  <si>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</si>
  <si>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</si>
  <si>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</si>
  <si>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Daysi Yankey</t>
  </si>
  <si>
    <t>Ramonita Sloan</t>
  </si>
  <si>
    <t>Shawana Stamper</t>
  </si>
  <si>
    <t>Pete Pauls</t>
  </si>
  <si>
    <t>Jerilyn Rea</t>
  </si>
  <si>
    <t>Jeanett Woomer</t>
  </si>
  <si>
    <t>Adina Petrosino</t>
  </si>
  <si>
    <t>Trista Cavazos</t>
  </si>
  <si>
    <t>Avril Super</t>
  </si>
  <si>
    <t>Rusty Wommack</t>
  </si>
  <si>
    <t>Beckie Sykes</t>
  </si>
  <si>
    <t>Missy Rutledge</t>
  </si>
  <si>
    <t>Elana Wolfrum</t>
  </si>
  <si>
    <t>Annamae Thill</t>
  </si>
  <si>
    <t>Kena Rothenberger</t>
  </si>
  <si>
    <t>Lida Crumpler</t>
  </si>
  <si>
    <t>Clayton Merced</t>
  </si>
  <si>
    <t>Jeannie Gering</t>
  </si>
  <si>
    <t>Sydney Crapo</t>
  </si>
  <si>
    <t>Yelena Oswald</t>
  </si>
  <si>
    <t>Ona Brugnoli</t>
  </si>
  <si>
    <t>Meta Flett</t>
  </si>
  <si>
    <t>Gretchen Manfredi</t>
  </si>
  <si>
    <t>Virgie Lenoir</t>
  </si>
  <si>
    <t>Antonina Lesniak</t>
  </si>
  <si>
    <t>Araceli Stromberg</t>
  </si>
  <si>
    <t>Nancie Milligan</t>
  </si>
  <si>
    <t>Laurene Elliot</t>
  </si>
  <si>
    <t>Debra Tincher</t>
  </si>
  <si>
    <t>Leanora Labonte</t>
  </si>
  <si>
    <t>Inell Salais</t>
  </si>
  <si>
    <t>Buddy Biron</t>
  </si>
  <si>
    <t>Mariann Lehoux</t>
  </si>
  <si>
    <t>Christa Misiewicz</t>
  </si>
  <si>
    <t>Renaldo Buckingham</t>
  </si>
  <si>
    <t>Hiedi Diem</t>
  </si>
  <si>
    <t>Veronique Flannagan</t>
  </si>
  <si>
    <t>Darcey Quashie</t>
  </si>
  <si>
    <t>Josiah Neher</t>
  </si>
  <si>
    <t>Krishna Lofgren</t>
  </si>
  <si>
    <t>Tania Spurlin</t>
  </si>
  <si>
    <t>Susana Eastwood</t>
  </si>
  <si>
    <t>Refugio Becher</t>
  </si>
  <si>
    <t>Elin Garren</t>
  </si>
  <si>
    <t>Alexander Pierri</t>
  </si>
  <si>
    <t>Hassie Mathis</t>
  </si>
  <si>
    <t>Isis Strittmatter</t>
  </si>
  <si>
    <t>Edgar Stapp</t>
  </si>
  <si>
    <t>Flossie Purvis</t>
  </si>
  <si>
    <t>Leida Kirshner</t>
  </si>
  <si>
    <t>tblStates</t>
  </si>
  <si>
    <t>tblNames</t>
  </si>
  <si>
    <t>Advanced ComboBox demo.  Use F4 to display "Search by Description" form</t>
  </si>
  <si>
    <t>tblEntries - Make entries here</t>
  </si>
  <si>
    <t>Beef</t>
  </si>
  <si>
    <t>Pork</t>
  </si>
  <si>
    <t>Chicken</t>
  </si>
  <si>
    <t>Back Ribs</t>
  </si>
  <si>
    <t>Beef for Stew</t>
  </si>
  <si>
    <t>Brisket</t>
  </si>
  <si>
    <t>Chuck Roast</t>
  </si>
  <si>
    <t>Filet Mignon</t>
  </si>
  <si>
    <t>Flank Steak</t>
  </si>
  <si>
    <t>Flat Iron</t>
  </si>
  <si>
    <t>Ground Beef</t>
  </si>
  <si>
    <t>Prime Rib</t>
  </si>
  <si>
    <t>Ribeye Steak</t>
  </si>
  <si>
    <t>Sirloin Steak</t>
  </si>
  <si>
    <t>Skirt Steak</t>
  </si>
  <si>
    <t>Strip Steak</t>
  </si>
  <si>
    <t>T-bone Steak</t>
  </si>
  <si>
    <t>Tenderloin Roast</t>
  </si>
  <si>
    <t>Top Round Roast</t>
  </si>
  <si>
    <t>Tri-tip Roast</t>
  </si>
  <si>
    <t>Breast</t>
  </si>
  <si>
    <t>Thigh</t>
  </si>
  <si>
    <t>Wing</t>
  </si>
  <si>
    <t>Drum</t>
  </si>
  <si>
    <t>Back</t>
  </si>
  <si>
    <t>Neck</t>
  </si>
  <si>
    <t>Feet</t>
  </si>
  <si>
    <t>Giblets</t>
  </si>
  <si>
    <t>Cuts</t>
  </si>
  <si>
    <t>Types</t>
  </si>
  <si>
    <t>Meats</t>
  </si>
  <si>
    <t>Bone-in Shoulder Roast</t>
  </si>
  <si>
    <t>Boneless Shoulder Roast</t>
  </si>
  <si>
    <t>Chef’s Prime</t>
  </si>
  <si>
    <t>Boneless Fresh Leg Roast</t>
  </si>
  <si>
    <t>Crown Roast*</t>
  </si>
  <si>
    <t>Boneless Center-Loin Roast*</t>
  </si>
  <si>
    <t>Rack of Pork</t>
  </si>
  <si>
    <t>Center-Cut Pork Chops</t>
  </si>
  <si>
    <t>America’s Cut Pork Chops (Boneless)</t>
  </si>
  <si>
    <t>Pork Cutlets</t>
  </si>
  <si>
    <t>Pork Filets</t>
  </si>
  <si>
    <t>Pork Steak</t>
  </si>
  <si>
    <t>St. Louis Ribs</t>
  </si>
  <si>
    <t>Country-Style Ribs</t>
  </si>
  <si>
    <t>Spareribs</t>
  </si>
  <si>
    <t>Baby Back Ribs*</t>
  </si>
  <si>
    <t>Tenderloin*</t>
  </si>
  <si>
    <t>Ground Pork</t>
  </si>
  <si>
    <t>Chorizo</t>
  </si>
  <si>
    <t>Sausage (Hot, Regular and Italian)</t>
  </si>
  <si>
    <t>Breakfast Links (Regular and Hot)</t>
  </si>
  <si>
    <t>Bratwurst</t>
  </si>
  <si>
    <t>Italian Links</t>
  </si>
  <si>
    <t>Side Pork</t>
  </si>
  <si>
    <t>Pork Liver</t>
  </si>
  <si>
    <t>Sliced Bacon</t>
  </si>
  <si>
    <t>Extra-Lean Sliced Bacon*</t>
  </si>
  <si>
    <t>Slab Bacon*</t>
  </si>
  <si>
    <t>Bean Bacon*</t>
  </si>
  <si>
    <t>Bacon Ends</t>
  </si>
  <si>
    <t>Boneless Ham</t>
  </si>
  <si>
    <t>Bone-In Ham (Whole: $3.95)</t>
  </si>
  <si>
    <t>Smoked Pork Chops</t>
  </si>
  <si>
    <t>Ham Steak*</t>
  </si>
  <si>
    <t>Thin-Sliced Ham</t>
  </si>
  <si>
    <t>Breakfast Ham Slices</t>
  </si>
  <si>
    <t>Ham Hock</t>
  </si>
  <si>
    <t>Ground Ham</t>
  </si>
  <si>
    <t>Polish Sausage</t>
  </si>
  <si>
    <t>Summer Sausage</t>
  </si>
  <si>
    <t>Old-Fashioned Franks</t>
  </si>
  <si>
    <t>Pepperoni Sticks</t>
  </si>
  <si>
    <t>Pork Jerky</t>
  </si>
  <si>
    <t>Favorite Meat Type</t>
  </si>
  <si>
    <t>Favorite Cut</t>
  </si>
  <si>
    <t>tblMeats</t>
  </si>
  <si>
    <t>tblBeef</t>
  </si>
  <si>
    <t>tblPork</t>
  </si>
  <si>
    <t>tblChicken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</si>
</sst>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9"/>
      <color rgb="FF000000"/>
      <name val="Consolas"/>
      <family val="3"/>
    </font>
    <font>
      <sz val="9"/>
      <color rgb="FF000000"/>
      <name val="Consolas"/>
      <family val="3"/>
    </font>
    <font>
      <sz val="9"/>
      <color rgb="FFFFFFFF"/>
      <name val="Consolas"/>
      <family val="3"/>
    </font>
    <font>
      <b/>
      <sz val="9"/>
      <color rgb="FF000000"/>
      <name val="Consolas"/>
      <family val="3"/>
    </font>
    <font>
      <i/>
      <sz val="9"/>
      <color rgb="FF000000"/>
      <name val="Consolas"/>
      <family val="3"/>
    </font>
    <font>
      <b/>
      <sz val="18"/>
      <color theme="6"/>
      <name val="Calibri"/>
      <family val="2"/>
      <scheme val="minor"/>
    </font>
    <font>
      <b/>
      <sz val="16"/>
      <color theme="6"/>
      <name val="Calibri"/>
      <family val="2"/>
      <scheme val="minor"/>
    </font>
    <font>
      <b/>
      <sz val="14"/>
      <color theme="6"/>
      <name val="Calibri"/>
      <family val="2"/>
      <scheme val="minor"/>
    </font>
    <font>
      <b/>
      <sz val="12"/>
      <color theme="6"/>
      <name val="Calibri"/>
      <family val="2"/>
      <scheme val="minor"/>
    </font>
    <font>
      <sz val="9"/>
      <color theme="0"/>
      <name val="Consolas"/>
      <family val="3"/>
    </font>
    <font>
      <b/>
      <sz val="24"/>
      <color theme="6"/>
      <name val="Arial Narrow"/>
      <family val="2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gradientFill degree="225">
        <stop position="0">
          <color theme="0" tint="-5.0935392315439317E-2"/>
        </stop>
        <stop position="1">
          <color theme="0" tint="-0.34900967436750391"/>
        </stop>
      </gradientFill>
    </fill>
    <fill>
      <patternFill patternType="solid">
        <fgColor indexed="65"/>
        <bgColor theme="4" tint="-0.24994659260841701"/>
      </patternFill>
    </fill>
    <fill>
      <patternFill patternType="solid">
        <fgColor theme="0" tint="-0.24994659260841701"/>
        <bgColor indexed="64"/>
      </patternFill>
    </fill>
    <fill>
      <gradientFill degree="45">
        <stop position="0">
          <color theme="0" tint="-5.0935392315439317E-2"/>
        </stop>
        <stop position="1">
          <color theme="0" tint="-0.34900967436750391"/>
        </stop>
      </gradientFill>
    </fill>
    <fill>
      <gradientFill degree="90">
        <stop position="0">
          <color rgb="FF60FFFF"/>
        </stop>
        <stop position="1">
          <color rgb="FF007A75"/>
        </stop>
      </gradientFill>
    </fill>
    <fill>
      <patternFill patternType="darkGrid">
        <fgColor rgb="FF00599A"/>
        <bgColor rgb="FF60FFFF"/>
      </patternFill>
    </fill>
    <fill>
      <patternFill patternType="darkGrid">
        <fgColor rgb="FF000F36"/>
        <bgColor rgb="FF60CFF6"/>
      </patternFill>
    </fill>
    <fill>
      <patternFill patternType="darkGrid">
        <fgColor rgb="FF727272"/>
        <bgColor rgb="FFFFFFFF"/>
      </patternFill>
    </fill>
    <fill>
      <gradientFill degree="90">
        <stop position="0">
          <color rgb="FF60F6F2"/>
        </stop>
        <stop position="1">
          <color rgb="FF003632"/>
        </stop>
      </gradientFill>
    </fill>
    <fill>
      <gradientFill degree="90">
        <stop position="0">
          <color rgb="FF60C4C2"/>
        </stop>
        <stop position="1">
          <color rgb="FF000402"/>
        </stop>
      </gradientFill>
    </fill>
    <fill>
      <gradientFill degree="90">
        <stop position="0">
          <color rgb="FF60FFFF"/>
        </stop>
        <stop position="1">
          <color rgb="FF00599A"/>
        </stop>
      </gradientFill>
    </fill>
    <fill>
      <gradientFill degree="90">
        <stop position="0">
          <color rgb="FF60CFF6"/>
        </stop>
        <stop position="1">
          <color rgb="FF000F36"/>
        </stop>
      </gradientFill>
    </fill>
    <fill>
      <gradientFill degree="90">
        <stop position="0">
          <color rgb="FFFFFFFF"/>
        </stop>
        <stop position="1">
          <color rgb="FF727272"/>
        </stop>
      </gradientFill>
    </fill>
    <fill>
      <patternFill patternType="darkGrid">
        <fgColor rgb="FF007A75"/>
        <bgColor rgb="FF60FFFF"/>
      </patternFill>
    </fill>
    <fill>
      <patternFill patternType="darkGrid">
        <fgColor rgb="FF003632"/>
        <bgColor rgb="FF60F6F2"/>
      </patternFill>
    </fill>
    <fill>
      <patternFill patternType="darkGrid">
        <fgColor rgb="FF000402"/>
        <bgColor rgb="FF60C4C2"/>
      </patternFill>
    </fill>
    <fill>
      <gradientFill degree="90">
        <stop position="0">
          <color theme="4"/>
        </stop>
        <stop position="1">
          <color theme="1"/>
        </stop>
      </gradient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rgb="FFFFFFFF"/>
      </left>
      <right style="hair">
        <color rgb="FFFFFFFF"/>
      </right>
      <top style="hair">
        <color rgb="FFFFFFFF"/>
      </top>
      <bottom style="hair">
        <color rgb="FFFFFFFF"/>
      </bottom>
      <diagonal/>
    </border>
    <border>
      <left style="hair">
        <color rgb="FFE4E4E4"/>
      </left>
      <right style="hair">
        <color rgb="FFE4E4E4"/>
      </right>
      <top style="hair">
        <color rgb="FFE4E4E4"/>
      </top>
      <bottom style="hair">
        <color rgb="FFE4E4E4"/>
      </bottom>
      <diagonal/>
    </border>
    <border>
      <left style="thin">
        <color rgb="FFE4E4E4"/>
      </left>
      <right style="thin">
        <color rgb="FFE4E4E4"/>
      </right>
      <top style="thin">
        <color rgb="FFE4E4E4"/>
      </top>
      <bottom style="thin">
        <color rgb="FFE4E4E4"/>
      </bottom>
      <diagonal/>
    </border>
    <border>
      <left/>
      <right/>
      <top/>
      <bottom style="thin">
        <color rgb="FFE4E4E4"/>
      </bottom>
      <diagonal/>
    </border>
    <border>
      <left style="hair">
        <color rgb="FFFFFFFF"/>
      </left>
      <right style="hair">
        <color rgb="FFFFFFFF"/>
      </right>
      <top style="hair">
        <color rgb="FFFFFFFF"/>
      </top>
      <bottom/>
      <diagonal/>
    </border>
    <border>
      <left style="thin">
        <color rgb="FFE4E4E4"/>
      </left>
      <right style="thin">
        <color rgb="FFE4E4E4"/>
      </right>
      <top/>
      <bottom style="thin">
        <color rgb="FFE4E4E4"/>
      </bottom>
      <diagonal/>
    </border>
  </borders>
  <cellStyleXfs count="57">
    <xf numFmtId="0" fontId="0" fillId="0" borderId="0">
      <alignment vertical="top"/>
    </xf>
    <xf numFmtId="0" fontId="10" fillId="0" borderId="0" applyNumberFormat="0" applyFill="0" applyBorder="0" applyAlignment="0"/>
    <xf numFmtId="0" fontId="5" fillId="33" borderId="0" applyNumberFormat="0" applyAlignment="0"/>
    <xf numFmtId="0" fontId="6" fillId="0" borderId="0" applyNumberFormat="0" applyFill="0" applyAlignment="0"/>
    <xf numFmtId="0" fontId="7" fillId="0" borderId="0" applyNumberFormat="0" applyFill="0" applyAlignment="0"/>
    <xf numFmtId="0" fontId="8" fillId="0" borderId="0" applyNumberFormat="0" applyFill="0" applyBorder="0" applyAlignment="0"/>
    <xf numFmtId="0" fontId="1" fillId="2" borderId="0" applyNumberFormat="0" applyBorder="0" applyAlignment="0">
      <protection locked="0"/>
    </xf>
    <xf numFmtId="0" fontId="1" fillId="3" borderId="0" applyNumberFormat="0" applyBorder="0" applyAlignment="0">
      <protection locked="0"/>
    </xf>
    <xf numFmtId="0" fontId="1" fillId="4" borderId="0" applyNumberFormat="0" applyBorder="0" applyAlignment="0">
      <protection locked="0"/>
    </xf>
    <xf numFmtId="0" fontId="1" fillId="34" borderId="8" applyNumberFormat="0" applyAlignment="0">
      <protection locked="0"/>
    </xf>
    <xf numFmtId="0" fontId="3" fillId="5" borderId="2" applyNumberFormat="0" applyAlignment="0"/>
    <xf numFmtId="0" fontId="3" fillId="5" borderId="1" applyNumberFormat="0" applyAlignment="0"/>
    <xf numFmtId="0" fontId="1" fillId="0" borderId="3" applyNumberFormat="0" applyFill="0" applyAlignment="0"/>
    <xf numFmtId="0" fontId="3" fillId="6" borderId="4" applyNumberFormat="0" applyAlignment="0"/>
    <xf numFmtId="0" fontId="1" fillId="0" borderId="0" applyNumberFormat="0" applyFill="0" applyBorder="0" applyAlignment="0"/>
    <xf numFmtId="0" fontId="1" fillId="7" borderId="5" applyNumberFormat="0" applyFont="0" applyAlignment="0"/>
    <xf numFmtId="0" fontId="4" fillId="0" borderId="0" applyNumberFormat="0" applyFill="0" applyBorder="0" applyAlignment="0"/>
    <xf numFmtId="0" fontId="3" fillId="0" borderId="6" applyNumberFormat="0" applyFill="0" applyAlignment="0"/>
    <xf numFmtId="0" fontId="1" fillId="8" borderId="0" applyNumberFormat="0" applyBorder="0" applyAlignment="0"/>
    <xf numFmtId="0" fontId="1" fillId="9" borderId="0" applyNumberFormat="0" applyBorder="0" applyAlignment="0"/>
    <xf numFmtId="0" fontId="1" fillId="10" borderId="0" applyNumberFormat="0" applyBorder="0" applyAlignment="0"/>
    <xf numFmtId="0" fontId="1" fillId="11" borderId="0" applyNumberFormat="0" applyBorder="0" applyAlignment="0"/>
    <xf numFmtId="0" fontId="2" fillId="12" borderId="7" applyNumberFormat="0" applyAlignment="0"/>
    <xf numFmtId="0" fontId="1" fillId="13" borderId="0" applyNumberFormat="0" applyBorder="0" applyAlignment="0"/>
    <xf numFmtId="0" fontId="1" fillId="14" borderId="0" applyNumberFormat="0" applyBorder="0" applyAlignment="0"/>
    <xf numFmtId="0" fontId="1" fillId="15" borderId="0" applyNumberFormat="0" applyBorder="0" applyAlignment="0"/>
    <xf numFmtId="0" fontId="2" fillId="16" borderId="7" applyNumberFormat="0" applyAlignment="0"/>
    <xf numFmtId="0" fontId="1" fillId="17" borderId="0" applyNumberFormat="0" applyBorder="0" applyAlignment="0"/>
    <xf numFmtId="0" fontId="1" fillId="18" borderId="0" applyNumberFormat="0" applyBorder="0" applyAlignment="0"/>
    <xf numFmtId="0" fontId="1" fillId="19" borderId="0" applyNumberFormat="0" applyBorder="0" applyAlignment="0"/>
    <xf numFmtId="0" fontId="1" fillId="20" borderId="0" applyNumberFormat="0" applyBorder="0" applyAlignment="0"/>
    <xf numFmtId="0" fontId="1" fillId="21" borderId="0" applyNumberFormat="0" applyBorder="0" applyAlignment="0"/>
    <xf numFmtId="0" fontId="1" fillId="22" borderId="0" applyNumberFormat="0" applyBorder="0" applyAlignment="0"/>
    <xf numFmtId="0" fontId="1" fillId="23" borderId="0" applyNumberFormat="0" applyBorder="0" applyAlignment="0"/>
    <xf numFmtId="0" fontId="2" fillId="24" borderId="0" applyNumberFormat="0" applyBorder="0" applyAlignment="0"/>
    <xf numFmtId="0" fontId="1" fillId="25" borderId="0" applyNumberFormat="0" applyBorder="0" applyAlignment="0"/>
    <xf numFmtId="0" fontId="1" fillId="26" borderId="0" applyNumberFormat="0" applyBorder="0" applyAlignment="0"/>
    <xf numFmtId="0" fontId="1" fillId="27" borderId="0" applyNumberFormat="0" applyBorder="0" applyAlignment="0"/>
    <xf numFmtId="0" fontId="1" fillId="28" borderId="0" applyNumberFormat="0" applyBorder="0" applyAlignment="0"/>
    <xf numFmtId="0" fontId="1" fillId="29" borderId="0" applyNumberFormat="0" applyBorder="0" applyAlignment="0"/>
    <xf numFmtId="0" fontId="1" fillId="30" borderId="0" applyNumberFormat="0" applyBorder="0" applyAlignment="0"/>
    <xf numFmtId="0" fontId="1" fillId="31" borderId="0" applyNumberFormat="0" applyBorder="0" applyAlignment="0"/>
    <xf numFmtId="0" fontId="1" fillId="32" borderId="0">
      <alignment vertical="top"/>
    </xf>
    <xf numFmtId="0" fontId="1" fillId="35" borderId="0">
      <alignment vertical="top"/>
    </xf>
    <xf numFmtId="0" fontId="1" fillId="36" borderId="9" applyNumberFormat="0" applyAlignment="0">
      <alignment vertical="top"/>
    </xf>
    <xf numFmtId="0" fontId="1" fillId="37" borderId="8" applyNumberFormat="0" applyAlignment="0">
      <alignment vertical="top"/>
    </xf>
    <xf numFmtId="0" fontId="2" fillId="38" borderId="8" applyNumberFormat="0" applyAlignment="0">
      <alignment vertical="top"/>
    </xf>
    <xf numFmtId="0" fontId="1" fillId="39" borderId="8" applyNumberFormat="0" applyAlignment="0">
      <alignment vertical="top"/>
    </xf>
    <xf numFmtId="0" fontId="2" fillId="40" borderId="9" applyNumberFormat="0" applyAlignment="0">
      <alignment vertical="top"/>
    </xf>
    <xf numFmtId="0" fontId="2" fillId="41" borderId="9" applyNumberFormat="0" applyAlignment="0">
      <alignment vertical="top"/>
    </xf>
    <xf numFmtId="0" fontId="1" fillId="42" borderId="9" applyNumberFormat="0" applyAlignment="0">
      <alignment vertical="top"/>
    </xf>
    <xf numFmtId="0" fontId="2" fillId="43" borderId="9" applyNumberFormat="0" applyAlignment="0">
      <alignment vertical="top"/>
    </xf>
    <xf numFmtId="0" fontId="1" fillId="44" borderId="9" applyNumberFormat="0" applyAlignment="0">
      <alignment vertical="top"/>
    </xf>
    <xf numFmtId="0" fontId="1" fillId="45" borderId="8" applyNumberFormat="0" applyAlignment="0">
      <alignment vertical="top"/>
    </xf>
    <xf numFmtId="0" fontId="2" fillId="46" borderId="8" applyNumberFormat="0" applyAlignment="0">
      <alignment vertical="top"/>
    </xf>
    <xf numFmtId="0" fontId="2" fillId="47" borderId="8" applyNumberFormat="0" applyAlignment="0">
      <alignment vertical="top"/>
    </xf>
    <xf numFmtId="0" fontId="9" fillId="48" borderId="10"/>
  </cellStyleXfs>
  <cellXfs count="14">
    <xf numFmtId="0" fontId="0" fillId="0" borderId="0" xfId="0">
      <alignment vertical="top"/>
    </xf>
    <xf numFmtId="0" fontId="9" fillId="48" borderId="10" xfId="56"/>
    <xf numFmtId="0" fontId="1" fillId="34" borderId="8" xfId="9" applyAlignment="1">
      <alignment vertical="top"/>
      <protection locked="0"/>
    </xf>
    <xf numFmtId="0" fontId="1" fillId="34" borderId="12" xfId="9" applyBorder="1" applyAlignment="1">
      <alignment vertical="top"/>
      <protection locked="0"/>
    </xf>
    <xf numFmtId="0" fontId="0" fillId="0" borderId="0" xfId="0" applyBorder="1">
      <alignment vertical="top"/>
    </xf>
    <xf numFmtId="0" fontId="9" fillId="48" borderId="13" xfId="56" applyBorder="1"/>
    <xf numFmtId="0" fontId="0" fillId="0" borderId="0" xfId="0" applyFill="1">
      <alignment vertical="top"/>
    </xf>
    <xf numFmtId="0" fontId="0" fillId="0" borderId="0" xfId="0" applyFill="1" applyBorder="1">
      <alignment vertical="top"/>
    </xf>
    <xf numFmtId="0" fontId="6" fillId="0" borderId="0" xfId="3" applyAlignment="1">
      <alignment vertical="top"/>
    </xf>
    <xf numFmtId="0" fontId="1" fillId="4" borderId="0" xfId="8" applyBorder="1" applyAlignment="1">
      <alignment vertical="top"/>
      <protection locked="0"/>
    </xf>
    <xf numFmtId="0" fontId="6" fillId="0" borderId="0" xfId="3" applyAlignment="1">
      <alignment vertical="top"/>
    </xf>
    <xf numFmtId="0" fontId="10" fillId="33" borderId="0" xfId="1" applyFill="1" applyAlignment="1">
      <alignment vertical="top"/>
    </xf>
    <xf numFmtId="0" fontId="4" fillId="0" borderId="11" xfId="16" applyBorder="1" applyAlignment="1">
      <alignment vertical="top"/>
    </xf>
    <xf numFmtId="0" fontId="4" fillId="33" borderId="0" xfId="16" applyFill="1" applyAlignment="1">
      <alignment vertical="top"/>
    </xf>
  </cellXfs>
  <cellStyles count="57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artArea" xfId="42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PlotArea" xfId="43"/>
    <cellStyle name="Series1" xfId="44"/>
    <cellStyle name="Series10" xfId="45"/>
    <cellStyle name="Series11" xfId="46"/>
    <cellStyle name="Series12" xfId="47"/>
    <cellStyle name="Series2" xfId="48"/>
    <cellStyle name="Series3" xfId="49"/>
    <cellStyle name="Series4" xfId="50"/>
    <cellStyle name="Series5" xfId="51"/>
    <cellStyle name="Series6" xfId="52"/>
    <cellStyle name="Series7" xfId="53"/>
    <cellStyle name="Series8" xfId="54"/>
    <cellStyle name="Series9" xfId="55"/>
    <cellStyle name="TableHeader" xfId="56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14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190500</xdr:colOff>
          <xdr:row>8</xdr:row>
          <xdr:rowOff>50800</xdr:rowOff>
        </xdr:to>
        <xdr:sp macro="" textlink="">
          <xdr:nvSpPr>
            <xdr:cNvPr id="1025" name="clsComboBox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647700</xdr:colOff>
      <xdr:row>0</xdr:row>
      <xdr:rowOff>57150</xdr:rowOff>
    </xdr:from>
    <xdr:to>
      <xdr:col>23</xdr:col>
      <xdr:colOff>142875</xdr:colOff>
      <xdr:row>1</xdr:row>
      <xdr:rowOff>28575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87675" y="57150"/>
          <a:ext cx="2057400" cy="3524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id="2" name="tblNames" displayName="tblNames" ref="H7:I57" totalsRowShown="0" headerRowCellStyle="TableHeader">
  <sortState ref="H8:I57">
    <sortCondition ref="I7"/>
  </sortState>
  <tableColumns count="2">
    <tableColumn id="1" name="ID"/>
    <tableColumn id="2" name="Name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tblStates" displayName="tblStates" ref="K7:L66" totalsRowShown="0" headerRowCellStyle="TableHeader">
  <tableColumns count="2">
    <tableColumn id="1" name="Code"/>
    <tableColumn id="2" name="Description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4" name="tblEntries" displayName="tblEntries" ref="A7:F18" totalsRowShown="0" headerRowCellStyle="TableHeader">
  <tableColumns count="6">
    <tableColumn id="1" name="ID" dataCellStyle="Normal">
      <calculatedColumnFormula>INDEX(tblNames[ID],MATCH(tblEntries[[#This Row],[Name]],tblNames[Name],0))</calculatedColumnFormula>
    </tableColumn>
    <tableColumn id="2" name="Name" dataCellStyle="Input"/>
    <tableColumn id="3" name="St" dataCellStyle="Input"/>
    <tableColumn id="4" name="State">
      <calculatedColumnFormula>_xlfn.IFNA(VLOOKUP(tblEntries[[#This Row],[St]],tblStates[],2,FALSE),"")</calculatedColumnFormula>
    </tableColumn>
    <tableColumn id="5" name="Favorite Meat Type" dataCellStyle="Input"/>
    <tableColumn id="6" name="Favorite Cut" dataCellStyle="Input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id="1" name="tblChicken" displayName="tblChicken" ref="T7:T15" totalsRowShown="0" headerRowCellStyle="TableHeader">
  <sortState ref="T9:T16">
    <sortCondition ref="T7"/>
  </sortState>
  <tableColumns count="1">
    <tableColumn id="1" name="Cuts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id="5" name="tblPork" displayName="tblPork" ref="R7:R50" totalsRowShown="0" headerRowCellStyle="TableHeader">
  <sortState ref="R9:R51">
    <sortCondition ref="R7"/>
  </sortState>
  <tableColumns count="1">
    <tableColumn id="1" name="Cuts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id="6" name="tblBeef" displayName="tblBeef" ref="P7:P24" totalsRowShown="0" headerRowCellStyle="TableHeader">
  <sortState ref="P9:P25">
    <sortCondition ref="P7"/>
  </sortState>
  <tableColumns count="1">
    <tableColumn id="1" name="Cuts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id="7" name="tblMeats" displayName="tblMeats" ref="N7:N10" totalsRowShown="0" headerRowCellStyle="TableHeader">
  <sortState ref="N9:N11">
    <sortCondition ref="N7"/>
  </sortState>
  <tableColumns count="1">
    <tableColumn id="1" name="Types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eyond Excel">
      <a:dk1>
        <a:srgbClr val="000000"/>
      </a:dk1>
      <a:lt1>
        <a:srgbClr val="FFFFFF"/>
      </a:lt1>
      <a:dk2>
        <a:srgbClr val="017551"/>
      </a:dk2>
      <a:lt2>
        <a:srgbClr val="FFFFCC"/>
      </a:lt2>
      <a:accent1>
        <a:srgbClr val="00DAD5"/>
      </a:accent1>
      <a:accent2>
        <a:srgbClr val="009692"/>
      </a:accent2>
      <a:accent3>
        <a:srgbClr val="006462"/>
      </a:accent3>
      <a:accent4>
        <a:srgbClr val="00B9FA"/>
      </a:accent4>
      <a:accent5>
        <a:srgbClr val="006F96"/>
      </a:accent5>
      <a:accent6>
        <a:srgbClr val="D2D2D2"/>
      </a:accent6>
      <a:hlink>
        <a:srgbClr val="216543"/>
      </a:hlink>
      <a:folHlink>
        <a:srgbClr val="90909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ComboDemo"/>
  <dimension ref="A1:T66"/>
  <sheetViews>
    <sheetView showGridLines="0" tabSelected="1" workbookViewId="0">
      <selection activeCell="B8" sqref="B8"/>
    </sheetView>
  </sheetViews>
  <sheetFormatPr defaultRowHeight="12" x14ac:dyDescent="0.2"/>
  <cols>
    <col min="1" max="1" width="3" bestFit="1" customWidth="1"/>
    <col min="2" max="2" width="18.28515625" bestFit="1" customWidth="1"/>
    <col min="3" max="3" width="3" bestFit="1" customWidth="1"/>
    <col min="4" max="4" width="15.140625" bestFit="1" customWidth="1"/>
    <col min="5" max="5" width="19.28515625" bestFit="1" customWidth="1"/>
    <col min="6" max="6" width="14.140625" bestFit="1" customWidth="1"/>
    <col min="7" max="7" width="7.7109375" customWidth="1"/>
    <col min="8" max="8" width="3" customWidth="1"/>
    <col min="9" max="9" width="20.28515625" bestFit="1" customWidth="1"/>
    <col min="10" max="10" width="3" customWidth="1"/>
    <col min="11" max="11" width="5" bestFit="1" customWidth="1"/>
    <col min="12" max="12" width="31.7109375" bestFit="1" customWidth="1"/>
    <col min="13" max="13" width="7.7109375" customWidth="1"/>
    <col min="14" max="14" width="9" bestFit="1" customWidth="1"/>
    <col min="15" max="15" width="3.7109375" customWidth="1"/>
    <col min="16" max="16" width="17.28515625" bestFit="1" customWidth="1"/>
    <col min="17" max="17" width="3.7109375" customWidth="1"/>
    <col min="18" max="18" width="36.85546875" bestFit="1" customWidth="1"/>
    <col min="19" max="19" width="3.7109375" customWidth="1"/>
    <col min="20" max="20" width="11" bestFit="1" customWidth="1"/>
  </cols>
  <sheetData>
    <row r="1" spans="1:20" ht="30" x14ac:dyDescent="0.2">
      <c r="A1" s="11" t="s">
        <v>5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20" x14ac:dyDescent="0.2">
      <c r="A2" s="13" t="s">
        <v>179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5" spans="1:20" ht="21" x14ac:dyDescent="0.2">
      <c r="A5" s="10" t="s">
        <v>4</v>
      </c>
      <c r="B5" s="10"/>
      <c r="C5" s="10"/>
      <c r="D5" s="10"/>
      <c r="E5" s="10"/>
      <c r="F5" s="10"/>
      <c r="H5" s="10" t="s">
        <v>6</v>
      </c>
      <c r="I5" s="10"/>
      <c r="K5" s="10" t="s">
        <v>7</v>
      </c>
      <c r="L5" s="10"/>
      <c r="N5" s="8" t="s">
        <v>211</v>
      </c>
      <c r="P5" s="8" t="s">
        <v>181</v>
      </c>
      <c r="R5" s="8" t="s">
        <v>182</v>
      </c>
      <c r="T5" s="8" t="s">
        <v>183</v>
      </c>
    </row>
    <row r="6" spans="1:20" x14ac:dyDescent="0.2">
      <c r="A6" s="9" t="s">
        <v>180</v>
      </c>
      <c r="B6" s="9"/>
      <c r="C6" s="9"/>
      <c r="D6" s="9"/>
      <c r="E6" s="9"/>
      <c r="F6" s="9"/>
      <c r="H6" s="12" t="s">
        <v>178</v>
      </c>
      <c r="I6" s="12"/>
      <c r="K6" s="12" t="s">
        <v>177</v>
      </c>
      <c r="L6" s="12"/>
      <c r="N6" t="s">
        <v>257</v>
      </c>
      <c r="P6" t="s">
        <v>258</v>
      </c>
      <c r="R6" t="s">
        <v>259</v>
      </c>
      <c r="T6" t="s">
        <v>260</v>
      </c>
    </row>
    <row r="7" spans="1:20" x14ac:dyDescent="0.2">
      <c r="A7" s="5" t="s">
        <v>0</v>
      </c>
      <c r="B7" s="5" t="s">
        <v>1</v>
      </c>
      <c r="C7" s="5" t="s">
        <v>2</v>
      </c>
      <c r="D7" s="5" t="s">
        <v>3</v>
      </c>
      <c r="E7" s="1" t="s">
        <v>255</v>
      </c>
      <c r="F7" s="1" t="s">
        <v>256</v>
      </c>
      <c r="H7" s="1" t="s">
        <v>0</v>
      </c>
      <c r="I7" s="1" t="s">
        <v>1</v>
      </c>
      <c r="K7" s="1" t="s">
        <v>8</v>
      </c>
      <c r="L7" s="1" t="s">
        <v>9</v>
      </c>
      <c r="N7" s="1" t="s">
        <v>210</v>
      </c>
      <c r="P7" s="1" t="s">
        <v>209</v>
      </c>
      <c r="R7" s="1" t="s">
        <v>209</v>
      </c>
      <c r="T7" s="1" t="s">
        <v>209</v>
      </c>
    </row>
    <row r="8" spans="1:20" x14ac:dyDescent="0.2">
      <c r="A8">
        <f>INDEX(tblNames[ID],MATCH(tblEntries[[#This Row],[Name]],tblNames[Name],0))</f>
        <v>10</v>
      </c>
      <c r="B8" s="2" t="s">
        <v>136</v>
      </c>
      <c r="C8" s="2" t="s">
        <v>13</v>
      </c>
      <c r="D8" t="str">
        <f>_xlfn.IFNA(VLOOKUP(tblEntries[[#This Row],[St]],tblStates[],2,FALSE),"")</f>
        <v>ALASKA</v>
      </c>
      <c r="E8" s="2" t="s">
        <v>182</v>
      </c>
      <c r="F8" s="2" t="s">
        <v>214</v>
      </c>
      <c r="H8">
        <v>7</v>
      </c>
      <c r="I8" t="s">
        <v>133</v>
      </c>
      <c r="K8" t="s">
        <v>11</v>
      </c>
      <c r="L8" t="s">
        <v>10</v>
      </c>
      <c r="N8" t="s">
        <v>181</v>
      </c>
      <c r="P8" t="s">
        <v>184</v>
      </c>
      <c r="R8" t="s">
        <v>220</v>
      </c>
      <c r="T8" t="s">
        <v>205</v>
      </c>
    </row>
    <row r="9" spans="1:20" x14ac:dyDescent="0.2">
      <c r="A9">
        <f>INDEX(tblNames[ID],MATCH(tblEntries[[#This Row],[Name]],tblNames[Name],0))</f>
        <v>4</v>
      </c>
      <c r="B9" s="2" t="s">
        <v>130</v>
      </c>
      <c r="C9" s="2" t="s">
        <v>118</v>
      </c>
      <c r="D9" t="str">
        <f>_xlfn.IFNA(VLOOKUP(tblEntries[[#This Row],[St]],tblStates[],2,FALSE),"")</f>
        <v>VIRGINIA</v>
      </c>
      <c r="E9" s="2" t="s">
        <v>182</v>
      </c>
      <c r="F9" s="2" t="s">
        <v>233</v>
      </c>
      <c r="H9">
        <v>45</v>
      </c>
      <c r="I9" t="s">
        <v>171</v>
      </c>
      <c r="K9" t="s">
        <v>13</v>
      </c>
      <c r="L9" t="s">
        <v>12</v>
      </c>
      <c r="N9" t="s">
        <v>183</v>
      </c>
      <c r="P9" t="s">
        <v>185</v>
      </c>
      <c r="R9" t="s">
        <v>227</v>
      </c>
      <c r="T9" t="s">
        <v>201</v>
      </c>
    </row>
    <row r="10" spans="1:20" x14ac:dyDescent="0.2">
      <c r="A10">
        <f>INDEX(tblNames[ID],MATCH(tblEntries[[#This Row],[Name]],tblNames[Name],0))</f>
        <v>33</v>
      </c>
      <c r="B10" s="2" t="s">
        <v>159</v>
      </c>
      <c r="C10" s="2" t="s">
        <v>118</v>
      </c>
      <c r="D10" t="str">
        <f>_xlfn.IFNA(VLOOKUP(tblEntries[[#This Row],[St]],tblStates[],2,FALSE),"")</f>
        <v>VIRGINIA</v>
      </c>
      <c r="E10" s="2" t="s">
        <v>182</v>
      </c>
      <c r="F10" s="2" t="s">
        <v>254</v>
      </c>
      <c r="H10">
        <v>14</v>
      </c>
      <c r="I10" t="s">
        <v>140</v>
      </c>
      <c r="K10" t="s">
        <v>15</v>
      </c>
      <c r="L10" t="s">
        <v>14</v>
      </c>
      <c r="N10" t="s">
        <v>182</v>
      </c>
      <c r="P10" t="s">
        <v>186</v>
      </c>
      <c r="R10" t="s">
        <v>241</v>
      </c>
      <c r="T10" t="s">
        <v>204</v>
      </c>
    </row>
    <row r="11" spans="1:20" x14ac:dyDescent="0.2">
      <c r="A11">
        <f>INDEX(tblNames[ID],MATCH(tblEntries[[#This Row],[Name]],tblNames[Name],0))</f>
        <v>14</v>
      </c>
      <c r="B11" s="2" t="s">
        <v>140</v>
      </c>
      <c r="C11" s="3" t="s">
        <v>39</v>
      </c>
      <c r="D11" s="4" t="str">
        <f>_xlfn.IFNA(VLOOKUP(tblEntries[[#This Row],[St]],tblStates[],2,FALSE),"")</f>
        <v>HAWAII</v>
      </c>
      <c r="E11" s="2" t="s">
        <v>181</v>
      </c>
      <c r="F11" s="2" t="s">
        <v>185</v>
      </c>
      <c r="H11">
        <v>25</v>
      </c>
      <c r="I11" t="s">
        <v>151</v>
      </c>
      <c r="K11" t="s">
        <v>17</v>
      </c>
      <c r="L11" t="s">
        <v>16</v>
      </c>
      <c r="P11" t="s">
        <v>187</v>
      </c>
      <c r="R11" t="s">
        <v>240</v>
      </c>
      <c r="T11" t="s">
        <v>207</v>
      </c>
    </row>
    <row r="12" spans="1:20" x14ac:dyDescent="0.2">
      <c r="A12" s="7">
        <f>INDEX(tblNames[ID],MATCH(tblEntries[[#This Row],[Name]],tblNames[Name],0))</f>
        <v>16</v>
      </c>
      <c r="B12" s="3" t="s">
        <v>142</v>
      </c>
      <c r="C12" s="3" t="s">
        <v>35</v>
      </c>
      <c r="D12" s="4" t="str">
        <f>_xlfn.IFNA(VLOOKUP(tblEntries[[#This Row],[St]],tblStates[],2,FALSE),"")</f>
        <v>GEORGIA</v>
      </c>
      <c r="E12" s="2" t="s">
        <v>182</v>
      </c>
      <c r="F12" s="2" t="s">
        <v>241</v>
      </c>
      <c r="H12">
        <v>26</v>
      </c>
      <c r="I12" t="s">
        <v>152</v>
      </c>
      <c r="K12" t="s">
        <v>19</v>
      </c>
      <c r="L12" t="s">
        <v>18</v>
      </c>
      <c r="P12" t="s">
        <v>188</v>
      </c>
      <c r="R12" t="s">
        <v>243</v>
      </c>
      <c r="T12" t="s">
        <v>208</v>
      </c>
    </row>
    <row r="13" spans="1:20" x14ac:dyDescent="0.2">
      <c r="A13" s="7">
        <f>INDEX(tblNames[ID],MATCH(tblEntries[[#This Row],[Name]],tblNames[Name],0))</f>
        <v>29</v>
      </c>
      <c r="B13" s="3" t="s">
        <v>155</v>
      </c>
      <c r="C13" s="3" t="s">
        <v>104</v>
      </c>
      <c r="D13" s="4" t="str">
        <f>_xlfn.IFNA(VLOOKUP(tblEntries[[#This Row],[St]],tblStates[],2,FALSE),"")</f>
        <v>SOUTH CAROLINA</v>
      </c>
      <c r="E13" s="2" t="s">
        <v>183</v>
      </c>
      <c r="F13" s="2" t="s">
        <v>203</v>
      </c>
      <c r="H13">
        <v>9</v>
      </c>
      <c r="I13" t="s">
        <v>135</v>
      </c>
      <c r="K13" t="s">
        <v>21</v>
      </c>
      <c r="L13" t="s">
        <v>20</v>
      </c>
      <c r="P13" t="s">
        <v>189</v>
      </c>
      <c r="R13" t="s">
        <v>212</v>
      </c>
      <c r="T13" t="s">
        <v>206</v>
      </c>
    </row>
    <row r="14" spans="1:20" x14ac:dyDescent="0.2">
      <c r="A14" s="6">
        <f>INDEX(tblNames[ID],MATCH(tblEntries[[#This Row],[Name]],tblNames[Name],0))</f>
        <v>15</v>
      </c>
      <c r="B14" s="2" t="s">
        <v>141</v>
      </c>
      <c r="C14" s="2" t="s">
        <v>98</v>
      </c>
      <c r="D14" s="4" t="str">
        <f>_xlfn.IFNA(VLOOKUP(tblEntries[[#This Row],[St]],tblStates[],2,FALSE),"")</f>
        <v>PENNSYLVANIA</v>
      </c>
      <c r="E14" s="2" t="s">
        <v>183</v>
      </c>
      <c r="F14" s="2" t="s">
        <v>201</v>
      </c>
      <c r="H14">
        <v>11</v>
      </c>
      <c r="I14" t="s">
        <v>137</v>
      </c>
      <c r="K14" t="s">
        <v>23</v>
      </c>
      <c r="L14" t="s">
        <v>22</v>
      </c>
      <c r="P14" t="s">
        <v>190</v>
      </c>
      <c r="R14" t="s">
        <v>217</v>
      </c>
      <c r="T14" t="s">
        <v>202</v>
      </c>
    </row>
    <row r="15" spans="1:20" x14ac:dyDescent="0.2">
      <c r="A15" s="6">
        <f>INDEX(tblNames[ID],MATCH(tblEntries[[#This Row],[Name]],tblNames[Name],0))</f>
        <v>23</v>
      </c>
      <c r="B15" s="2" t="s">
        <v>149</v>
      </c>
      <c r="C15" s="2" t="s">
        <v>58</v>
      </c>
      <c r="D15" s="4" t="str">
        <f>_xlfn.IFNA(VLOOKUP(tblEntries[[#This Row],[St]],tblStates[],2,FALSE),"")</f>
        <v>MARYLAND</v>
      </c>
      <c r="E15" s="2" t="s">
        <v>182</v>
      </c>
      <c r="F15" s="2" t="s">
        <v>248</v>
      </c>
      <c r="H15">
        <v>32</v>
      </c>
      <c r="I15" t="s">
        <v>158</v>
      </c>
      <c r="K15" t="s">
        <v>25</v>
      </c>
      <c r="L15" t="s">
        <v>24</v>
      </c>
      <c r="P15" t="s">
        <v>191</v>
      </c>
      <c r="R15" t="s">
        <v>215</v>
      </c>
      <c r="T15" t="s">
        <v>203</v>
      </c>
    </row>
    <row r="16" spans="1:20" x14ac:dyDescent="0.2">
      <c r="A16" s="6">
        <f>INDEX(tblNames[ID],MATCH(tblEntries[[#This Row],[Name]],tblNames[Name],0))</f>
        <v>24</v>
      </c>
      <c r="B16" s="2" t="s">
        <v>150</v>
      </c>
      <c r="C16" s="2" t="s">
        <v>84</v>
      </c>
      <c r="D16" s="4" t="str">
        <f>_xlfn.IFNA(VLOOKUP(tblEntries[[#This Row],[St]],tblStates[],2,FALSE),"")</f>
        <v>NORTH CAROLINA</v>
      </c>
      <c r="E16" s="2"/>
      <c r="F16" s="2"/>
      <c r="H16">
        <v>34</v>
      </c>
      <c r="I16" t="s">
        <v>160</v>
      </c>
      <c r="K16" t="s">
        <v>27</v>
      </c>
      <c r="L16" t="s">
        <v>26</v>
      </c>
      <c r="P16" t="s">
        <v>192</v>
      </c>
      <c r="R16" t="s">
        <v>242</v>
      </c>
    </row>
    <row r="17" spans="1:18" x14ac:dyDescent="0.2">
      <c r="A17" s="6">
        <f>INDEX(tblNames[ID],MATCH(tblEntries[[#This Row],[Name]],tblNames[Name],0))</f>
        <v>30</v>
      </c>
      <c r="B17" s="2" t="s">
        <v>156</v>
      </c>
      <c r="C17" s="2" t="s">
        <v>33</v>
      </c>
      <c r="D17" s="4" t="str">
        <f>_xlfn.IFNA(VLOOKUP(tblEntries[[#This Row],[St]],tblStates[],2,FALSE),"")</f>
        <v>FLORIDA</v>
      </c>
      <c r="E17" s="2"/>
      <c r="F17" s="2"/>
      <c r="H17">
        <v>17</v>
      </c>
      <c r="I17" t="s">
        <v>143</v>
      </c>
      <c r="K17" t="s">
        <v>29</v>
      </c>
      <c r="L17" t="s">
        <v>28</v>
      </c>
      <c r="P17" t="s">
        <v>193</v>
      </c>
      <c r="R17" t="s">
        <v>213</v>
      </c>
    </row>
    <row r="18" spans="1:18" x14ac:dyDescent="0.2">
      <c r="A18" s="6">
        <f>INDEX(tblNames[ID],MATCH(tblEntries[[#This Row],[Name]],tblNames[Name],0))</f>
        <v>40</v>
      </c>
      <c r="B18" s="2" t="s">
        <v>166</v>
      </c>
      <c r="C18" s="2" t="s">
        <v>82</v>
      </c>
      <c r="D18" s="4" t="str">
        <f>_xlfn.IFNA(VLOOKUP(tblEntries[[#This Row],[St]],tblStates[],2,FALSE),"")</f>
        <v>NEW YORK</v>
      </c>
      <c r="E18" s="2"/>
      <c r="F18" s="2"/>
      <c r="H18">
        <v>38</v>
      </c>
      <c r="I18" t="s">
        <v>164</v>
      </c>
      <c r="K18" t="s">
        <v>31</v>
      </c>
      <c r="L18" t="s">
        <v>30</v>
      </c>
      <c r="P18" t="s">
        <v>194</v>
      </c>
      <c r="R18" t="s">
        <v>233</v>
      </c>
    </row>
    <row r="19" spans="1:18" x14ac:dyDescent="0.2">
      <c r="H19">
        <v>1</v>
      </c>
      <c r="I19" t="s">
        <v>127</v>
      </c>
      <c r="K19" t="s">
        <v>33</v>
      </c>
      <c r="L19" t="s">
        <v>32</v>
      </c>
      <c r="P19" t="s">
        <v>195</v>
      </c>
      <c r="R19" t="s">
        <v>247</v>
      </c>
    </row>
    <row r="20" spans="1:18" x14ac:dyDescent="0.2">
      <c r="H20">
        <v>29</v>
      </c>
      <c r="I20" t="s">
        <v>155</v>
      </c>
      <c r="K20" t="s">
        <v>35</v>
      </c>
      <c r="L20" t="s">
        <v>34</v>
      </c>
      <c r="P20" t="s">
        <v>196</v>
      </c>
      <c r="R20" t="s">
        <v>232</v>
      </c>
    </row>
    <row r="21" spans="1:18" x14ac:dyDescent="0.2">
      <c r="H21">
        <v>48</v>
      </c>
      <c r="I21" t="s">
        <v>174</v>
      </c>
      <c r="K21" t="s">
        <v>37</v>
      </c>
      <c r="L21" t="s">
        <v>36</v>
      </c>
      <c r="P21" t="s">
        <v>197</v>
      </c>
      <c r="R21" t="s">
        <v>219</v>
      </c>
    </row>
    <row r="22" spans="1:18" x14ac:dyDescent="0.2">
      <c r="H22">
        <v>13</v>
      </c>
      <c r="I22" t="s">
        <v>139</v>
      </c>
      <c r="K22" t="s">
        <v>39</v>
      </c>
      <c r="L22" t="s">
        <v>38</v>
      </c>
      <c r="P22" t="s">
        <v>198</v>
      </c>
      <c r="R22" t="s">
        <v>214</v>
      </c>
    </row>
    <row r="23" spans="1:18" x14ac:dyDescent="0.2">
      <c r="H23">
        <v>44</v>
      </c>
      <c r="I23" t="s">
        <v>170</v>
      </c>
      <c r="K23" t="s">
        <v>0</v>
      </c>
      <c r="L23" t="s">
        <v>40</v>
      </c>
      <c r="P23" t="s">
        <v>199</v>
      </c>
      <c r="R23" t="s">
        <v>230</v>
      </c>
    </row>
    <row r="24" spans="1:18" x14ac:dyDescent="0.2">
      <c r="H24">
        <v>49</v>
      </c>
      <c r="I24" t="s">
        <v>175</v>
      </c>
      <c r="K24" t="s">
        <v>42</v>
      </c>
      <c r="L24" t="s">
        <v>41</v>
      </c>
      <c r="P24" t="s">
        <v>200</v>
      </c>
      <c r="R24" t="s">
        <v>225</v>
      </c>
    </row>
    <row r="25" spans="1:18" x14ac:dyDescent="0.2">
      <c r="H25">
        <v>23</v>
      </c>
      <c r="I25" t="s">
        <v>149</v>
      </c>
      <c r="K25" t="s">
        <v>44</v>
      </c>
      <c r="L25" t="s">
        <v>43</v>
      </c>
      <c r="R25" t="s">
        <v>216</v>
      </c>
    </row>
    <row r="26" spans="1:18" x14ac:dyDescent="0.2">
      <c r="H26">
        <v>46</v>
      </c>
      <c r="I26" t="s">
        <v>172</v>
      </c>
      <c r="K26" t="s">
        <v>46</v>
      </c>
      <c r="L26" t="s">
        <v>45</v>
      </c>
      <c r="R26" t="s">
        <v>238</v>
      </c>
    </row>
    <row r="27" spans="1:18" x14ac:dyDescent="0.2">
      <c r="H27">
        <v>36</v>
      </c>
      <c r="I27" t="s">
        <v>162</v>
      </c>
      <c r="K27" t="s">
        <v>48</v>
      </c>
      <c r="L27" t="s">
        <v>47</v>
      </c>
      <c r="R27" t="s">
        <v>249</v>
      </c>
    </row>
    <row r="28" spans="1:18" x14ac:dyDescent="0.2">
      <c r="H28">
        <v>31</v>
      </c>
      <c r="I28" t="s">
        <v>157</v>
      </c>
      <c r="K28" t="s">
        <v>50</v>
      </c>
      <c r="L28" t="s">
        <v>49</v>
      </c>
      <c r="R28" t="s">
        <v>229</v>
      </c>
    </row>
    <row r="29" spans="1:18" x14ac:dyDescent="0.2">
      <c r="H29">
        <v>47</v>
      </c>
      <c r="I29" t="s">
        <v>173</v>
      </c>
      <c r="K29" t="s">
        <v>52</v>
      </c>
      <c r="L29" t="s">
        <v>51</v>
      </c>
      <c r="R29" t="s">
        <v>248</v>
      </c>
    </row>
    <row r="30" spans="1:18" x14ac:dyDescent="0.2">
      <c r="H30">
        <v>6</v>
      </c>
      <c r="I30" t="s">
        <v>132</v>
      </c>
      <c r="K30" t="s">
        <v>54</v>
      </c>
      <c r="L30" t="s">
        <v>53</v>
      </c>
      <c r="R30" t="s">
        <v>245</v>
      </c>
    </row>
    <row r="31" spans="1:18" x14ac:dyDescent="0.2">
      <c r="H31">
        <v>18</v>
      </c>
      <c r="I31" t="s">
        <v>144</v>
      </c>
      <c r="K31" t="s">
        <v>56</v>
      </c>
      <c r="L31" t="s">
        <v>55</v>
      </c>
      <c r="R31" t="s">
        <v>234</v>
      </c>
    </row>
    <row r="32" spans="1:18" x14ac:dyDescent="0.2">
      <c r="H32">
        <v>5</v>
      </c>
      <c r="I32" t="s">
        <v>131</v>
      </c>
      <c r="K32" t="s">
        <v>58</v>
      </c>
      <c r="L32" t="s">
        <v>57</v>
      </c>
      <c r="R32" t="s">
        <v>252</v>
      </c>
    </row>
    <row r="33" spans="8:18" x14ac:dyDescent="0.2">
      <c r="H33">
        <v>39</v>
      </c>
      <c r="I33" t="s">
        <v>165</v>
      </c>
      <c r="K33" t="s">
        <v>60</v>
      </c>
      <c r="L33" t="s">
        <v>59</v>
      </c>
      <c r="R33" t="s">
        <v>253</v>
      </c>
    </row>
    <row r="34" spans="8:18" x14ac:dyDescent="0.2">
      <c r="H34">
        <v>15</v>
      </c>
      <c r="I34" t="s">
        <v>141</v>
      </c>
      <c r="K34" t="s">
        <v>62</v>
      </c>
      <c r="L34" t="s">
        <v>61</v>
      </c>
      <c r="R34" t="s">
        <v>250</v>
      </c>
    </row>
    <row r="35" spans="8:18" x14ac:dyDescent="0.2">
      <c r="H35">
        <v>40</v>
      </c>
      <c r="I35" t="s">
        <v>166</v>
      </c>
      <c r="K35" t="s">
        <v>64</v>
      </c>
      <c r="L35" t="s">
        <v>63</v>
      </c>
      <c r="R35" t="s">
        <v>221</v>
      </c>
    </row>
    <row r="36" spans="8:18" x14ac:dyDescent="0.2">
      <c r="H36">
        <v>28</v>
      </c>
      <c r="I36" t="s">
        <v>154</v>
      </c>
      <c r="K36" t="s">
        <v>66</v>
      </c>
      <c r="L36" t="s">
        <v>65</v>
      </c>
      <c r="R36" t="s">
        <v>222</v>
      </c>
    </row>
    <row r="37" spans="8:18" x14ac:dyDescent="0.2">
      <c r="H37">
        <v>30</v>
      </c>
      <c r="I37" t="s">
        <v>156</v>
      </c>
      <c r="K37" t="s">
        <v>68</v>
      </c>
      <c r="L37" t="s">
        <v>67</v>
      </c>
      <c r="R37" t="s">
        <v>254</v>
      </c>
    </row>
    <row r="38" spans="8:18" x14ac:dyDescent="0.2">
      <c r="H38">
        <v>50</v>
      </c>
      <c r="I38" t="s">
        <v>176</v>
      </c>
      <c r="K38" t="s">
        <v>70</v>
      </c>
      <c r="L38" t="s">
        <v>69</v>
      </c>
      <c r="R38" t="s">
        <v>236</v>
      </c>
    </row>
    <row r="39" spans="8:18" x14ac:dyDescent="0.2">
      <c r="H39">
        <v>16</v>
      </c>
      <c r="I39" t="s">
        <v>142</v>
      </c>
      <c r="K39" t="s">
        <v>72</v>
      </c>
      <c r="L39" t="s">
        <v>71</v>
      </c>
      <c r="R39" t="s">
        <v>223</v>
      </c>
    </row>
    <row r="40" spans="8:18" x14ac:dyDescent="0.2">
      <c r="H40">
        <v>33</v>
      </c>
      <c r="I40" t="s">
        <v>159</v>
      </c>
      <c r="K40" t="s">
        <v>74</v>
      </c>
      <c r="L40" t="s">
        <v>73</v>
      </c>
      <c r="R40" t="s">
        <v>218</v>
      </c>
    </row>
    <row r="41" spans="8:18" x14ac:dyDescent="0.2">
      <c r="H41">
        <v>22</v>
      </c>
      <c r="I41" t="s">
        <v>148</v>
      </c>
      <c r="K41" t="s">
        <v>76</v>
      </c>
      <c r="L41" t="s">
        <v>75</v>
      </c>
      <c r="R41" t="s">
        <v>231</v>
      </c>
    </row>
    <row r="42" spans="8:18" x14ac:dyDescent="0.2">
      <c r="H42">
        <v>12</v>
      </c>
      <c r="I42" t="s">
        <v>138</v>
      </c>
      <c r="K42" t="s">
        <v>78</v>
      </c>
      <c r="L42" t="s">
        <v>77</v>
      </c>
      <c r="R42" t="s">
        <v>235</v>
      </c>
    </row>
    <row r="43" spans="8:18" x14ac:dyDescent="0.2">
      <c r="H43">
        <v>27</v>
      </c>
      <c r="I43" t="s">
        <v>153</v>
      </c>
      <c r="K43" t="s">
        <v>80</v>
      </c>
      <c r="L43" t="s">
        <v>79</v>
      </c>
      <c r="R43" t="s">
        <v>239</v>
      </c>
    </row>
    <row r="44" spans="8:18" x14ac:dyDescent="0.2">
      <c r="H44">
        <v>21</v>
      </c>
      <c r="I44" t="s">
        <v>147</v>
      </c>
      <c r="K44" t="s">
        <v>82</v>
      </c>
      <c r="L44" t="s">
        <v>81</v>
      </c>
      <c r="R44" t="s">
        <v>237</v>
      </c>
    </row>
    <row r="45" spans="8:18" x14ac:dyDescent="0.2">
      <c r="H45">
        <v>4</v>
      </c>
      <c r="I45" t="s">
        <v>130</v>
      </c>
      <c r="K45" t="s">
        <v>84</v>
      </c>
      <c r="L45" t="s">
        <v>83</v>
      </c>
      <c r="R45" t="s">
        <v>244</v>
      </c>
    </row>
    <row r="46" spans="8:18" x14ac:dyDescent="0.2">
      <c r="H46">
        <v>2</v>
      </c>
      <c r="I46" t="s">
        <v>128</v>
      </c>
      <c r="K46" t="s">
        <v>86</v>
      </c>
      <c r="L46" t="s">
        <v>85</v>
      </c>
      <c r="R46" t="s">
        <v>226</v>
      </c>
    </row>
    <row r="47" spans="8:18" x14ac:dyDescent="0.2">
      <c r="H47">
        <v>43</v>
      </c>
      <c r="I47" t="s">
        <v>169</v>
      </c>
      <c r="K47" t="s">
        <v>88</v>
      </c>
      <c r="L47" t="s">
        <v>87</v>
      </c>
      <c r="R47" t="s">
        <v>224</v>
      </c>
    </row>
    <row r="48" spans="8:18" x14ac:dyDescent="0.2">
      <c r="H48">
        <v>35</v>
      </c>
      <c r="I48" t="s">
        <v>161</v>
      </c>
      <c r="K48" t="s">
        <v>90</v>
      </c>
      <c r="L48" t="s">
        <v>89</v>
      </c>
      <c r="R48" t="s">
        <v>251</v>
      </c>
    </row>
    <row r="49" spans="8:18" x14ac:dyDescent="0.2">
      <c r="H49">
        <v>10</v>
      </c>
      <c r="I49" t="s">
        <v>136</v>
      </c>
      <c r="K49" t="s">
        <v>92</v>
      </c>
      <c r="L49" t="s">
        <v>91</v>
      </c>
      <c r="R49" t="s">
        <v>228</v>
      </c>
    </row>
    <row r="50" spans="8:18" x14ac:dyDescent="0.2">
      <c r="H50">
        <v>3</v>
      </c>
      <c r="I50" t="s">
        <v>129</v>
      </c>
      <c r="K50" t="s">
        <v>94</v>
      </c>
      <c r="L50" t="s">
        <v>93</v>
      </c>
      <c r="R50" t="s">
        <v>246</v>
      </c>
    </row>
    <row r="51" spans="8:18" x14ac:dyDescent="0.2">
      <c r="H51">
        <v>42</v>
      </c>
      <c r="I51" t="s">
        <v>168</v>
      </c>
      <c r="K51" t="s">
        <v>96</v>
      </c>
      <c r="L51" t="s">
        <v>95</v>
      </c>
    </row>
    <row r="52" spans="8:18" x14ac:dyDescent="0.2">
      <c r="H52">
        <v>19</v>
      </c>
      <c r="I52" t="s">
        <v>145</v>
      </c>
      <c r="K52" t="s">
        <v>98</v>
      </c>
      <c r="L52" t="s">
        <v>97</v>
      </c>
    </row>
    <row r="53" spans="8:18" x14ac:dyDescent="0.2">
      <c r="H53">
        <v>41</v>
      </c>
      <c r="I53" t="s">
        <v>167</v>
      </c>
      <c r="K53" t="s">
        <v>100</v>
      </c>
      <c r="L53" t="s">
        <v>99</v>
      </c>
    </row>
    <row r="54" spans="8:18" x14ac:dyDescent="0.2">
      <c r="H54">
        <v>8</v>
      </c>
      <c r="I54" t="s">
        <v>134</v>
      </c>
      <c r="K54" t="s">
        <v>102</v>
      </c>
      <c r="L54" t="s">
        <v>101</v>
      </c>
    </row>
    <row r="55" spans="8:18" x14ac:dyDescent="0.2">
      <c r="H55">
        <v>37</v>
      </c>
      <c r="I55" t="s">
        <v>163</v>
      </c>
      <c r="K55" t="s">
        <v>104</v>
      </c>
      <c r="L55" t="s">
        <v>103</v>
      </c>
    </row>
    <row r="56" spans="8:18" x14ac:dyDescent="0.2">
      <c r="H56">
        <v>24</v>
      </c>
      <c r="I56" t="s">
        <v>150</v>
      </c>
      <c r="K56" t="s">
        <v>106</v>
      </c>
      <c r="L56" t="s">
        <v>105</v>
      </c>
    </row>
    <row r="57" spans="8:18" x14ac:dyDescent="0.2">
      <c r="H57">
        <v>20</v>
      </c>
      <c r="I57" t="s">
        <v>146</v>
      </c>
      <c r="K57" t="s">
        <v>108</v>
      </c>
      <c r="L57" t="s">
        <v>107</v>
      </c>
    </row>
    <row r="58" spans="8:18" x14ac:dyDescent="0.2">
      <c r="K58" t="s">
        <v>110</v>
      </c>
      <c r="L58" t="s">
        <v>109</v>
      </c>
    </row>
    <row r="59" spans="8:18" x14ac:dyDescent="0.2">
      <c r="K59" t="s">
        <v>112</v>
      </c>
      <c r="L59" t="s">
        <v>111</v>
      </c>
    </row>
    <row r="60" spans="8:18" x14ac:dyDescent="0.2">
      <c r="K60" t="s">
        <v>114</v>
      </c>
      <c r="L60" t="s">
        <v>113</v>
      </c>
    </row>
    <row r="61" spans="8:18" x14ac:dyDescent="0.2">
      <c r="K61" t="s">
        <v>116</v>
      </c>
      <c r="L61" t="s">
        <v>115</v>
      </c>
    </row>
    <row r="62" spans="8:18" x14ac:dyDescent="0.2">
      <c r="K62" t="s">
        <v>118</v>
      </c>
      <c r="L62" t="s">
        <v>117</v>
      </c>
    </row>
    <row r="63" spans="8:18" x14ac:dyDescent="0.2">
      <c r="K63" t="s">
        <v>120</v>
      </c>
      <c r="L63" t="s">
        <v>119</v>
      </c>
    </row>
    <row r="64" spans="8:18" x14ac:dyDescent="0.2">
      <c r="K64" t="s">
        <v>122</v>
      </c>
      <c r="L64" t="s">
        <v>121</v>
      </c>
    </row>
    <row r="65" spans="11:12" x14ac:dyDescent="0.2">
      <c r="K65" t="s">
        <v>124</v>
      </c>
      <c r="L65" t="s">
        <v>123</v>
      </c>
    </row>
    <row r="66" spans="11:12" x14ac:dyDescent="0.2">
      <c r="K66" t="s">
        <v>126</v>
      </c>
      <c r="L66" t="s">
        <v>125</v>
      </c>
    </row>
  </sheetData>
  <dataConsolidate/>
  <mergeCells count="8">
    <mergeCell ref="A6:F6"/>
    <mergeCell ref="A5:F5"/>
    <mergeCell ref="A1:M1"/>
    <mergeCell ref="H5:I5"/>
    <mergeCell ref="K5:L5"/>
    <mergeCell ref="H6:I6"/>
    <mergeCell ref="K6:L6"/>
    <mergeCell ref="A2:M2"/>
  </mergeCells>
  <conditionalFormatting sqref="D9:D10 B9:B10">
    <cfRule type="cellIs" dxfId="2" priority="4" operator="lessThanOrEqual">
      <formula>""</formula>
    </cfRule>
  </conditionalFormatting>
  <conditionalFormatting sqref="D8:D18">
    <cfRule type="cellIs" dxfId="1" priority="2" operator="lessThanOrEqual">
      <formula>""</formula>
    </cfRule>
  </conditionalFormatting>
  <conditionalFormatting sqref="B8:B18">
    <cfRule type="cellIs" dxfId="0" priority="1" operator="lessThanOrEqual">
      <formula>""</formula>
    </cfRule>
  </conditionalFormatting>
  <dataValidations count="4">
    <dataValidation type="list" allowBlank="1" showInputMessage="1" showErrorMessage="1" sqref="C8:C18">
      <formula1>INDIRECT("tblStates[Code]")</formula1>
    </dataValidation>
    <dataValidation type="list" allowBlank="1" showInputMessage="1" showErrorMessage="1" sqref="B8:B18">
      <formula1>INDIRECT("tblNames[Name]")</formula1>
    </dataValidation>
    <dataValidation type="list" allowBlank="1" showInputMessage="1" showErrorMessage="1" sqref="E8:E18">
      <formula1>INDIRECT("tblMeats")</formula1>
    </dataValidation>
    <dataValidation type="list" allowBlank="1" showInputMessage="1" showErrorMessage="1" sqref="F8:F18">
      <formula1>INDIRECT("tbl" &amp; E8)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lsComboBox">
          <controlPr defaultSize="0" autoLine="0" listFillRange="ComboDemo!$I$8:$I$57" r:id="rId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190500</xdr:colOff>
                <xdr:row>8</xdr:row>
                <xdr:rowOff>47625</xdr:rowOff>
              </to>
            </anchor>
          </controlPr>
        </control>
      </mc:Choice>
      <mc:Fallback>
        <control shapeId="1025" r:id="rId4" name="clsComboBox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ComboDemo</vt:lpstr>
      <vt:lpstr>MeatType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Hatmaker</dc:creator>
  <cp:lastModifiedBy>ADK</cp:lastModifiedBy>
  <dcterms:created xsi:type="dcterms:W3CDTF">2014-01-07T15:49:37Z</dcterms:created>
  <dcterms:modified xsi:type="dcterms:W3CDTF">2016-01-01T17:03:20Z</dcterms:modified>
</cp:coreProperties>
</file>